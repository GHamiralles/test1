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ph1609.tricia.g\Documents\Projects_Trish\IN PROGRESS\17 [CSP] i360 Personal Information Update\WBS for Alfie\"/>
    </mc:Choice>
  </mc:AlternateContent>
  <xr:revisionPtr revIDLastSave="0" documentId="13_ncr:1_{B3C84DD7-D6BA-4066-8E61-5C9141595046}" xr6:coauthVersionLast="47" xr6:coauthVersionMax="47" xr10:uidLastSave="{00000000-0000-0000-0000-000000000000}"/>
  <bookViews>
    <workbookView xWindow="-110" yWindow="-110" windowWidth="25820" windowHeight="15500" tabRatio="500" xr2:uid="{00000000-000D-0000-FFFF-FFFF00000000}"/>
  </bookViews>
  <sheets>
    <sheet name="WBS with Gantt Chart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0" i="1" l="1"/>
  <c r="G45" i="1"/>
  <c r="G46" i="1"/>
  <c r="G47" i="1"/>
  <c r="G48" i="1"/>
  <c r="G49" i="1"/>
  <c r="G40" i="1"/>
  <c r="G39" i="1"/>
  <c r="G38" i="1"/>
  <c r="G37" i="1"/>
  <c r="G36" i="1"/>
  <c r="G35" i="1"/>
  <c r="G34" i="1"/>
  <c r="G33" i="1"/>
  <c r="G10" i="1" l="1"/>
  <c r="G31" i="1"/>
  <c r="G30" i="1"/>
  <c r="G29" i="1"/>
  <c r="G28" i="1"/>
  <c r="G27" i="1"/>
  <c r="G26" i="1"/>
  <c r="G53" i="1"/>
  <c r="G52" i="1"/>
  <c r="G44" i="1"/>
  <c r="G43" i="1"/>
  <c r="G42" i="1"/>
  <c r="G58" i="1"/>
  <c r="G57" i="1"/>
  <c r="G55" i="1"/>
  <c r="G60" i="1"/>
  <c r="G16" i="1"/>
  <c r="G17" i="1"/>
  <c r="G18" i="1"/>
  <c r="G19" i="1"/>
  <c r="G20" i="1"/>
  <c r="G21" i="1"/>
  <c r="G22" i="1"/>
  <c r="G23" i="1"/>
  <c r="G24" i="1"/>
  <c r="G15" i="1"/>
  <c r="G11" i="1"/>
  <c r="G12" i="1"/>
  <c r="G13" i="1"/>
</calcChain>
</file>

<file path=xl/sharedStrings.xml><?xml version="1.0" encoding="utf-8"?>
<sst xmlns="http://schemas.openxmlformats.org/spreadsheetml/2006/main" count="226" uniqueCount="127">
  <si>
    <t>PROJECT TITLE</t>
  </si>
  <si>
    <t>Overall Progress</t>
  </si>
  <si>
    <t>PROJECT MANAGER</t>
  </si>
  <si>
    <t>Tricia Gomez</t>
  </si>
  <si>
    <t>COMPANY NAME</t>
  </si>
  <si>
    <t>Caspo Inc.</t>
  </si>
  <si>
    <t>DATE</t>
  </si>
  <si>
    <t>JUNE</t>
  </si>
  <si>
    <t>JULY</t>
  </si>
  <si>
    <t>AUGUST</t>
  </si>
  <si>
    <t>SEPTEMBER</t>
  </si>
  <si>
    <t>OCTOBER</t>
  </si>
  <si>
    <t>WBS NUMBER</t>
  </si>
  <si>
    <t>TASK TITLE</t>
  </si>
  <si>
    <t>TASK OWNER</t>
  </si>
  <si>
    <t>START DATE</t>
  </si>
  <si>
    <t>DUE DATE</t>
  </si>
  <si>
    <t>DURATION</t>
  </si>
  <si>
    <t>% of TASK COMPLETED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</si>
  <si>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</si>
  <si>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</si>
  <si>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</si>
  <si>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</si>
  <si>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</si>
  <si>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</si>
  <si>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</si>
  <si>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</si>
  <si>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</si>
  <si>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</si>
  <si>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</si>
  <si>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</si>
  <si>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</si>
  <si>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</si>
  <si>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</si>
  <si>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M</t>
  </si>
  <si>
    <t>T</t>
  </si>
  <si>
    <t>W</t>
  </si>
  <si>
    <t>TH</t>
  </si>
  <si>
    <t>F</t>
  </si>
  <si>
    <t>SPFX Setup</t>
  </si>
  <si>
    <t>React</t>
  </si>
  <si>
    <t>1.2</t>
  </si>
  <si>
    <t>Git</t>
  </si>
  <si>
    <t>1.3</t>
  </si>
  <si>
    <t>Sharepoint List Columns</t>
  </si>
  <si>
    <t>1.4</t>
  </si>
  <si>
    <t>Routing and Home Modal</t>
  </si>
  <si>
    <t>Sick</t>
  </si>
  <si>
    <t>Request Form Summary</t>
  </si>
  <si>
    <t>Form Functions</t>
  </si>
  <si>
    <t>2.1.1</t>
  </si>
  <si>
    <t>Form Layout</t>
  </si>
  <si>
    <t>2.1.2</t>
  </si>
  <si>
    <t>New Request Functions and Validation</t>
  </si>
  <si>
    <t>XY</t>
  </si>
  <si>
    <t>2.1.3</t>
  </si>
  <si>
    <t>Status Update Functions and Validation</t>
  </si>
  <si>
    <t>2.1.4</t>
  </si>
  <si>
    <t>Emailing</t>
  </si>
  <si>
    <t>2.2</t>
  </si>
  <si>
    <t>Table Summary</t>
  </si>
  <si>
    <t>2.2.1</t>
  </si>
  <si>
    <t>Datatable Integration</t>
  </si>
  <si>
    <t>2.2.2</t>
  </si>
  <si>
    <t>Keyword Searching</t>
  </si>
  <si>
    <t>2.2.3</t>
  </si>
  <si>
    <t>Filtering</t>
  </si>
  <si>
    <t>2.2.4</t>
  </si>
  <si>
    <t>Table Functions</t>
  </si>
  <si>
    <t>3</t>
  </si>
  <si>
    <t>i360 to Azure Alignment</t>
  </si>
  <si>
    <t>3.1</t>
  </si>
  <si>
    <t>Admin List</t>
  </si>
  <si>
    <t>3.2</t>
  </si>
  <si>
    <t>Approver List</t>
  </si>
  <si>
    <t>3.3</t>
  </si>
  <si>
    <t>SQ/Reviewer List</t>
  </si>
  <si>
    <t>3.4</t>
  </si>
  <si>
    <t>CS Lead List</t>
  </si>
  <si>
    <t>3.5</t>
  </si>
  <si>
    <t>Special User List (WePivot)</t>
  </si>
  <si>
    <t>3.6</t>
  </si>
  <si>
    <t>Business Logic and Function from Alignment</t>
  </si>
  <si>
    <t>Master List</t>
  </si>
  <si>
    <t>Bypass Item Saving</t>
  </si>
  <si>
    <t>4.2.1</t>
  </si>
  <si>
    <t>4.2.2</t>
  </si>
  <si>
    <t>4.3</t>
  </si>
  <si>
    <t>Reporting and Exporting</t>
  </si>
  <si>
    <t>Document Searching</t>
  </si>
  <si>
    <t>Statistic of Acessing Documents</t>
  </si>
  <si>
    <t>Design</t>
  </si>
  <si>
    <t xml:space="preserve">New Form HTML </t>
  </si>
  <si>
    <t>Request Form Summary HTML</t>
  </si>
  <si>
    <t>Settings</t>
  </si>
  <si>
    <t>5.4</t>
  </si>
  <si>
    <t>Logs</t>
  </si>
  <si>
    <t>Master List Summary HTML</t>
  </si>
  <si>
    <t>Master List Form HTML</t>
  </si>
  <si>
    <t>5.7</t>
  </si>
  <si>
    <t>Responses/Report Table</t>
  </si>
  <si>
    <t>5.8</t>
  </si>
  <si>
    <t>Overall Polishing</t>
  </si>
  <si>
    <t>6</t>
  </si>
  <si>
    <t>Data Migration</t>
  </si>
  <si>
    <t>6.1</t>
  </si>
  <si>
    <t>Request Form</t>
  </si>
  <si>
    <t>6.2</t>
  </si>
  <si>
    <t>MasterList</t>
  </si>
  <si>
    <t>7</t>
  </si>
  <si>
    <t>QAT</t>
  </si>
  <si>
    <t>7.1</t>
  </si>
  <si>
    <t>Testing</t>
  </si>
  <si>
    <t>OFC/SQ</t>
  </si>
  <si>
    <t>8</t>
  </si>
  <si>
    <t>UAT</t>
  </si>
  <si>
    <t>8.1</t>
  </si>
  <si>
    <t>8.2</t>
  </si>
  <si>
    <t>UAT Sign Off</t>
  </si>
  <si>
    <t>OFC</t>
  </si>
  <si>
    <t>UAT SIGN OFF</t>
  </si>
  <si>
    <t>9</t>
  </si>
  <si>
    <t>Production</t>
  </si>
  <si>
    <t>9.1</t>
  </si>
  <si>
    <t>Actual Go Live</t>
  </si>
  <si>
    <t>GO LIVE</t>
  </si>
  <si>
    <t>i360 Personal Information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</si>
</sst>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orbel"/>
      <family val="2"/>
      <scheme val="minor"/>
    </font>
    <font>
      <sz val="12"/>
      <color theme="1"/>
      <name val="Corbel"/>
      <family val="2"/>
      <scheme val="minor"/>
    </font>
    <font>
      <b/>
      <sz val="10"/>
      <color theme="4" tint="-0.249977111117893"/>
      <name val="Century Gothic"/>
      <family val="1"/>
    </font>
    <font>
      <sz val="10"/>
      <color theme="1"/>
      <name val="Century Gothic"/>
      <family val="1"/>
    </font>
    <font>
      <b/>
      <sz val="10"/>
      <color theme="0"/>
      <name val="Century Gothic"/>
      <family val="1"/>
    </font>
    <font>
      <b/>
      <sz val="10"/>
      <color theme="1"/>
      <name val="Century Gothic"/>
      <family val="1"/>
    </font>
    <font>
      <sz val="11"/>
      <color theme="1"/>
      <name val="Corbel"/>
      <family val="2"/>
      <scheme val="minor"/>
    </font>
    <font>
      <i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10"/>
      <color rgb="FF000000"/>
      <name val="Century Gothic"/>
    </font>
    <font>
      <sz val="9"/>
      <color rgb="FF000000"/>
      <name val="Century Gothic"/>
    </font>
    <font>
      <sz val="10"/>
      <color theme="0"/>
      <name val="Century Gothic"/>
      <family val="1"/>
    </font>
  </fonts>
  <fills count="2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E57A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/>
      <top style="thin">
        <color theme="0" tint="-0.249977111117893"/>
      </top>
      <bottom style="thin">
        <color rgb="FF00000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rgb="FF00000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84">
    <xf numFmtId="0" fontId="0" fillId="0" borderId="0" xfId="0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wrapText="1"/>
    </xf>
    <xf numFmtId="0" fontId="3" fillId="14" borderId="1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14" fontId="3" fillId="14" borderId="2" xfId="0" applyNumberFormat="1" applyFont="1" applyFill="1" applyBorder="1" applyAlignment="1">
      <alignment horizontal="center" vertical="center" wrapText="1"/>
    </xf>
    <xf numFmtId="1" fontId="3" fillId="14" borderId="2" xfId="0" applyNumberFormat="1" applyFont="1" applyFill="1" applyBorder="1" applyAlignment="1">
      <alignment horizontal="center" vertical="center" wrapText="1"/>
    </xf>
    <xf numFmtId="9" fontId="5" fillId="14" borderId="2" xfId="1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4" fontId="3" fillId="14" borderId="1" xfId="0" applyNumberFormat="1" applyFont="1" applyFill="1" applyBorder="1" applyAlignment="1">
      <alignment horizontal="center" vertical="center" wrapText="1"/>
    </xf>
    <xf numFmtId="9" fontId="5" fillId="14" borderId="1" xfId="1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left" vertical="center" wrapText="1"/>
    </xf>
    <xf numFmtId="0" fontId="4" fillId="15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wrapText="1"/>
    </xf>
    <xf numFmtId="0" fontId="4" fillId="16" borderId="1" xfId="0" applyFont="1" applyFill="1" applyBorder="1" applyAlignment="1">
      <alignment horizontal="left" vertical="center" wrapText="1" indent="1"/>
    </xf>
    <xf numFmtId="0" fontId="3" fillId="0" borderId="1" xfId="0" applyFont="1" applyBorder="1" applyAlignment="1">
      <alignment horizontal="left" vertical="center" wrapText="1" indent="1"/>
    </xf>
    <xf numFmtId="0" fontId="3" fillId="14" borderId="2" xfId="0" applyFont="1" applyFill="1" applyBorder="1" applyAlignment="1">
      <alignment horizontal="left" vertical="center" wrapText="1" indent="1"/>
    </xf>
    <xf numFmtId="0" fontId="3" fillId="14" borderId="1" xfId="0" applyFont="1" applyFill="1" applyBorder="1" applyAlignment="1">
      <alignment horizontal="left" vertical="center" wrapText="1" inden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 wrapText="1"/>
    </xf>
    <xf numFmtId="49" fontId="3" fillId="17" borderId="2" xfId="0" applyNumberFormat="1" applyFont="1" applyFill="1" applyBorder="1" applyAlignment="1">
      <alignment horizontal="left" vertical="center" wrapText="1" indent="1"/>
    </xf>
    <xf numFmtId="49" fontId="3" fillId="17" borderId="1" xfId="0" applyNumberFormat="1" applyFont="1" applyFill="1" applyBorder="1" applyAlignment="1">
      <alignment horizontal="left" vertical="center" wrapText="1" indent="1"/>
    </xf>
    <xf numFmtId="0" fontId="4" fillId="15" borderId="0" xfId="0" applyFont="1" applyFill="1" applyAlignment="1">
      <alignment horizontal="left" vertical="center" indent="1"/>
    </xf>
    <xf numFmtId="0" fontId="4" fillId="2" borderId="5" xfId="0" applyFont="1" applyFill="1" applyBorder="1" applyAlignment="1">
      <alignment horizontal="left" vertical="center" indent="1"/>
    </xf>
    <xf numFmtId="0" fontId="4" fillId="2" borderId="4" xfId="0" applyFont="1" applyFill="1" applyBorder="1" applyAlignment="1">
      <alignment horizontal="left" vertical="center" indent="1"/>
    </xf>
    <xf numFmtId="0" fontId="4" fillId="2" borderId="3" xfId="0" applyFont="1" applyFill="1" applyBorder="1" applyAlignment="1">
      <alignment horizontal="left" vertical="center" indent="1"/>
    </xf>
    <xf numFmtId="0" fontId="4" fillId="6" borderId="5" xfId="0" applyFont="1" applyFill="1" applyBorder="1" applyAlignment="1">
      <alignment horizontal="left" vertical="center" indent="1"/>
    </xf>
    <xf numFmtId="0" fontId="4" fillId="6" borderId="4" xfId="0" applyFont="1" applyFill="1" applyBorder="1" applyAlignment="1">
      <alignment horizontal="left" vertical="center" indent="1"/>
    </xf>
    <xf numFmtId="0" fontId="4" fillId="6" borderId="3" xfId="0" applyFont="1" applyFill="1" applyBorder="1" applyAlignment="1">
      <alignment horizontal="left" vertical="center" indent="1"/>
    </xf>
    <xf numFmtId="0" fontId="4" fillId="9" borderId="4" xfId="0" applyFont="1" applyFill="1" applyBorder="1" applyAlignment="1">
      <alignment horizontal="left" vertical="center" indent="1"/>
    </xf>
    <xf numFmtId="0" fontId="4" fillId="12" borderId="5" xfId="0" applyFont="1" applyFill="1" applyBorder="1" applyAlignment="1">
      <alignment horizontal="left" vertical="center" indent="1"/>
    </xf>
    <xf numFmtId="0" fontId="4" fillId="12" borderId="4" xfId="0" applyFont="1" applyFill="1" applyBorder="1" applyAlignment="1">
      <alignment horizontal="left" vertical="center" indent="1"/>
    </xf>
    <xf numFmtId="0" fontId="4" fillId="12" borderId="3" xfId="0" applyFont="1" applyFill="1" applyBorder="1" applyAlignment="1">
      <alignment horizontal="left" vertical="center" indent="1"/>
    </xf>
    <xf numFmtId="0" fontId="7" fillId="0" borderId="1" xfId="0" applyFont="1" applyBorder="1" applyAlignment="1">
      <alignment horizontal="right" vertical="center" wrapText="1" indent="1"/>
    </xf>
    <xf numFmtId="0" fontId="8" fillId="0" borderId="1" xfId="0" applyFont="1" applyBorder="1" applyAlignment="1">
      <alignment horizontal="left" vertical="center" wrapText="1" indent="1"/>
    </xf>
    <xf numFmtId="0" fontId="3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right" vertical="center" wrapText="1" indent="1"/>
    </xf>
    <xf numFmtId="0" fontId="7" fillId="0" borderId="1" xfId="0" applyFont="1" applyBorder="1" applyAlignment="1">
      <alignment horizontal="left" vertical="center" wrapText="1" indent="1"/>
    </xf>
    <xf numFmtId="0" fontId="3" fillId="19" borderId="1" xfId="0" applyFont="1" applyFill="1" applyBorder="1" applyAlignment="1">
      <alignment wrapText="1"/>
    </xf>
    <xf numFmtId="0" fontId="3" fillId="2" borderId="1" xfId="0" applyFont="1" applyFill="1" applyBorder="1" applyAlignment="1">
      <alignment wrapText="1"/>
    </xf>
    <xf numFmtId="14" fontId="3" fillId="0" borderId="1" xfId="0" applyNumberFormat="1" applyFont="1" applyBorder="1" applyAlignment="1">
      <alignment horizontal="left" vertical="center" wrapText="1" indent="1"/>
    </xf>
    <xf numFmtId="9" fontId="8" fillId="0" borderId="1" xfId="1" applyFont="1" applyBorder="1" applyAlignment="1">
      <alignment horizontal="center" vertical="center" wrapText="1"/>
    </xf>
    <xf numFmtId="0" fontId="3" fillId="20" borderId="1" xfId="0" applyFont="1" applyFill="1" applyBorder="1" applyAlignment="1">
      <alignment wrapText="1"/>
    </xf>
    <xf numFmtId="0" fontId="9" fillId="14" borderId="1" xfId="0" applyFont="1" applyFill="1" applyBorder="1" applyAlignment="1">
      <alignment horizontal="center" vertical="center" wrapText="1"/>
    </xf>
    <xf numFmtId="0" fontId="4" fillId="12" borderId="10" xfId="0" applyFont="1" applyFill="1" applyBorder="1" applyAlignment="1">
      <alignment horizontal="left" vertical="center" indent="1"/>
    </xf>
    <xf numFmtId="0" fontId="4" fillId="12" borderId="11" xfId="0" applyFont="1" applyFill="1" applyBorder="1" applyAlignment="1">
      <alignment horizontal="left" vertical="center" indent="1"/>
    </xf>
    <xf numFmtId="0" fontId="4" fillId="22" borderId="5" xfId="0" applyFont="1" applyFill="1" applyBorder="1" applyAlignment="1">
      <alignment horizontal="left" vertical="center" indent="1"/>
    </xf>
    <xf numFmtId="0" fontId="4" fillId="22" borderId="4" xfId="0" applyFont="1" applyFill="1" applyBorder="1" applyAlignment="1">
      <alignment horizontal="left" vertical="center" indent="1"/>
    </xf>
    <xf numFmtId="0" fontId="5" fillId="23" borderId="2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wrapText="1"/>
    </xf>
    <xf numFmtId="0" fontId="10" fillId="0" borderId="5" xfId="0" applyFont="1" applyBorder="1" applyAlignment="1">
      <alignment wrapText="1"/>
    </xf>
    <xf numFmtId="0" fontId="3" fillId="25" borderId="1" xfId="0" applyFont="1" applyFill="1" applyBorder="1" applyAlignment="1">
      <alignment wrapText="1"/>
    </xf>
    <xf numFmtId="0" fontId="3" fillId="26" borderId="1" xfId="0" applyFont="1" applyFill="1" applyBorder="1" applyAlignment="1">
      <alignment wrapText="1"/>
    </xf>
    <xf numFmtId="0" fontId="3" fillId="27" borderId="5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4" fillId="21" borderId="4" xfId="0" applyFont="1" applyFill="1" applyBorder="1" applyAlignment="1">
      <alignment horizontal="center" vertical="center" indent="1"/>
    </xf>
    <xf numFmtId="0" fontId="12" fillId="18" borderId="5" xfId="0" applyFont="1" applyFill="1" applyBorder="1" applyAlignment="1">
      <alignment horizontal="center" wrapText="1"/>
    </xf>
    <xf numFmtId="0" fontId="12" fillId="18" borderId="4" xfId="0" applyFont="1" applyFill="1" applyBorder="1" applyAlignment="1">
      <alignment horizontal="center" wrapText="1"/>
    </xf>
    <xf numFmtId="0" fontId="12" fillId="18" borderId="3" xfId="0" applyFont="1" applyFill="1" applyBorder="1" applyAlignment="1">
      <alignment horizontal="center" wrapText="1"/>
    </xf>
    <xf numFmtId="0" fontId="11" fillId="23" borderId="5" xfId="0" applyFont="1" applyFill="1" applyBorder="1" applyAlignment="1">
      <alignment horizontal="center" vertical="center" wrapText="1"/>
    </xf>
    <xf numFmtId="0" fontId="3" fillId="23" borderId="4" xfId="0" applyFont="1" applyFill="1" applyBorder="1" applyAlignment="1">
      <alignment horizontal="center" vertical="center" wrapText="1"/>
    </xf>
    <xf numFmtId="0" fontId="3" fillId="23" borderId="3" xfId="0" applyFont="1" applyFill="1" applyBorder="1" applyAlignment="1">
      <alignment horizontal="center" vertical="center" wrapText="1"/>
    </xf>
    <xf numFmtId="0" fontId="4" fillId="16" borderId="8" xfId="0" applyFont="1" applyFill="1" applyBorder="1" applyAlignment="1">
      <alignment horizontal="center" vertical="center" wrapText="1"/>
    </xf>
    <xf numFmtId="0" fontId="4" fillId="16" borderId="9" xfId="0" applyFont="1" applyFill="1" applyBorder="1" applyAlignment="1">
      <alignment horizontal="center" vertical="center" wrapText="1"/>
    </xf>
    <xf numFmtId="9" fontId="9" fillId="0" borderId="13" xfId="0" applyNumberFormat="1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indent="1"/>
    </xf>
    <xf numFmtId="0" fontId="4" fillId="3" borderId="4" xfId="0" applyFont="1" applyFill="1" applyBorder="1" applyAlignment="1">
      <alignment horizontal="center" vertical="center" indent="1"/>
    </xf>
    <xf numFmtId="0" fontId="4" fillId="5" borderId="4" xfId="0" applyFont="1" applyFill="1" applyBorder="1" applyAlignment="1">
      <alignment horizontal="center" vertical="center" indent="1"/>
    </xf>
    <xf numFmtId="0" fontId="4" fillId="8" borderId="4" xfId="0" applyFont="1" applyFill="1" applyBorder="1" applyAlignment="1">
      <alignment horizontal="center" vertical="center" indent="1"/>
    </xf>
    <xf numFmtId="0" fontId="3" fillId="7" borderId="5" xfId="0" applyFont="1" applyFill="1" applyBorder="1" applyAlignment="1">
      <alignment horizontal="center" wrapText="1"/>
    </xf>
    <xf numFmtId="0" fontId="3" fillId="7" borderId="4" xfId="0" applyFont="1" applyFill="1" applyBorder="1" applyAlignment="1">
      <alignment horizontal="center" wrapText="1"/>
    </xf>
    <xf numFmtId="0" fontId="3" fillId="7" borderId="3" xfId="0" applyFont="1" applyFill="1" applyBorder="1" applyAlignment="1">
      <alignment horizontal="center" wrapText="1"/>
    </xf>
    <xf numFmtId="0" fontId="4" fillId="11" borderId="4" xfId="0" applyFont="1" applyFill="1" applyBorder="1" applyAlignment="1">
      <alignment horizontal="center" vertical="center" indent="1"/>
    </xf>
    <xf numFmtId="0" fontId="4" fillId="11" borderId="3" xfId="0" applyFont="1" applyFill="1" applyBorder="1" applyAlignment="1">
      <alignment horizontal="center" vertical="center" indent="1"/>
    </xf>
    <xf numFmtId="0" fontId="4" fillId="16" borderId="7" xfId="0" applyFont="1" applyFill="1" applyBorder="1" applyAlignment="1">
      <alignment horizontal="center" vertical="center" wrapText="1" indent="1"/>
    </xf>
    <xf numFmtId="0" fontId="4" fillId="16" borderId="12" xfId="0" applyFont="1" applyFill="1" applyBorder="1" applyAlignment="1">
      <alignment horizontal="center" vertical="center" wrapText="1" indent="1"/>
    </xf>
    <xf numFmtId="0" fontId="4" fillId="16" borderId="2" xfId="0" applyFont="1" applyFill="1" applyBorder="1" applyAlignment="1">
      <alignment horizontal="center" vertical="center" wrapText="1" indent="1"/>
    </xf>
  </cellXfs>
  <cellStyles count="3">
    <cellStyle name="Normal" xfId="0" builtinId="0"/>
    <cellStyle name="Normal 2" xfId="2" xr:uid="{696B0378-BBDE-D540-AAEB-44AC2771009A}"/>
    <cellStyle name="Percent" xfId="1" builtinId="5"/>
  </cellStyles>
  <dxfs count="0"/>
  <tableStyles count="0" defaultTableStyle="TableStyleMedium9" defaultPivotStyle="PivotStyleMedium7"/>
  <colors>
    <mruColors>
      <color rgb="FFEE57AD"/>
      <color rgb="FF6A3AFF"/>
      <color rgb="FFFFC11D"/>
      <color rgb="FFED7C00"/>
      <color rgb="FF732EE0"/>
      <color rgb="FFF1B93C"/>
      <color rgb="FFFFDCE4"/>
      <color rgb="FFE3DAFF"/>
      <color rgb="FFFFBD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Headlines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Headlines">
      <a:majorFont>
        <a:latin typeface="Century Schoolbook" panose="02040604050505020304"/>
        <a:ea typeface=""/>
        <a:cs typeface=""/>
      </a:majorFont>
      <a:minorFont>
        <a:latin typeface="Corbel" panose="020B0503020204020204"/>
        <a:ea typeface=""/>
        <a:cs typeface=""/>
      </a:minorFont>
    </a:fontScheme>
    <a:fmtScheme name="Headlines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100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88900" dist="25400" dir="10800000">
              <a:srgbClr val="000000">
                <a:alpha val="25000"/>
              </a:srgbClr>
            </a:innerShdw>
            <a:outerShdw blurRad="25400" dist="25400" dir="5400000" rotWithShape="0">
              <a:srgbClr val="FFFFFF">
                <a:alpha val="1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Headlines" id="{3841520A-25F2-4EB8-BE4C-611DB5ABEED9}" vid="{ECD25A4C-D97E-4C12-84B1-63580BFFAEEB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4.9989318521683403E-2"/>
    <pageSetUpPr fitToPage="1"/>
  </sheetPr>
  <dimension ref="B1:CT63"/>
  <sheetViews>
    <sheetView showGridLines="0" tabSelected="1" zoomScale="90" zoomScaleNormal="90" workbookViewId="0">
      <pane ySplit="7" topLeftCell="A8" activePane="bottomLeft" state="frozen"/>
      <selection pane="bottomLeft" activeCell="E64" sqref="E64"/>
    </sheetView>
  </sheetViews>
  <sheetFormatPr defaultColWidth="10.765625" defaultRowHeight="13.5" customHeight="1" x14ac:dyDescent="0.25"/>
  <cols>
    <col min="1" max="1" width="3.23046875" style="2" customWidth="1"/>
    <col min="2" max="2" width="13.765625" style="2" customWidth="1"/>
    <col min="3" max="3" width="35.765625" style="2" customWidth="1"/>
    <col min="4" max="4" width="15.765625" style="2" customWidth="1"/>
    <col min="5" max="8" width="10.765625" style="2" customWidth="1"/>
    <col min="9" max="58" width="3.765625" style="2" customWidth="1"/>
    <col min="59" max="59" width="3.3828125" style="2" customWidth="1"/>
    <col min="60" max="68" width="3.765625" style="2" customWidth="1"/>
    <col min="69" max="69" width="3.3828125" style="2" customWidth="1"/>
    <col min="70" max="78" width="3.765625" style="2" customWidth="1"/>
    <col min="79" max="79" width="3.3828125" style="2" customWidth="1"/>
    <col min="80" max="83" width="3.765625" style="2" customWidth="1"/>
    <col min="84" max="84" width="3.3828125" style="2" customWidth="1"/>
    <col min="85" max="88" width="3.765625" style="2" customWidth="1"/>
    <col min="89" max="89" width="3.3828125" style="2" customWidth="1"/>
    <col min="90" max="93" width="3.765625" style="2" customWidth="1"/>
    <col min="94" max="16384" width="10.765625" style="2"/>
  </cols>
  <sheetData>
    <row r="1" spans="2:98" ht="35.15" customHeight="1" x14ac:dyDescent="0.25">
      <c r="B1" s="16" t="s">
        <v>0</v>
      </c>
      <c r="C1" s="17" t="s">
        <v>126</v>
      </c>
      <c r="D1" s="68" t="s">
        <v>1</v>
      </c>
      <c r="E1" s="70"/>
      <c r="F1" s="5"/>
      <c r="G1" s="5"/>
      <c r="H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2:98" ht="35.15" customHeight="1" x14ac:dyDescent="0.25">
      <c r="B2" s="16" t="s">
        <v>2</v>
      </c>
      <c r="C2" s="17" t="s">
        <v>3</v>
      </c>
      <c r="D2" s="69"/>
      <c r="E2" s="71"/>
      <c r="F2" s="5"/>
      <c r="G2" s="5"/>
      <c r="H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</row>
    <row r="3" spans="2:98" ht="35.15" customHeight="1" x14ac:dyDescent="0.25">
      <c r="B3" s="16" t="s">
        <v>4</v>
      </c>
      <c r="C3" s="17" t="s">
        <v>5</v>
      </c>
      <c r="D3" s="5"/>
      <c r="E3" s="5"/>
      <c r="F3" s="5"/>
      <c r="G3" s="5"/>
    </row>
    <row r="4" spans="2:98" ht="35.15" customHeight="1" x14ac:dyDescent="0.25">
      <c r="B4" s="16" t="s">
        <v>6</v>
      </c>
      <c r="C4" s="46"/>
      <c r="D4" s="5"/>
      <c r="E4" s="5"/>
      <c r="F4" s="5"/>
      <c r="G4" s="5"/>
      <c r="H4" s="1"/>
      <c r="I4" s="72" t="s">
        <v>7</v>
      </c>
      <c r="J4" s="73"/>
      <c r="K4" s="73"/>
      <c r="L4" s="73"/>
      <c r="M4" s="73"/>
      <c r="N4" s="74" t="s">
        <v>8</v>
      </c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 t="s">
        <v>9</v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9" t="s">
        <v>10</v>
      </c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80"/>
      <c r="CA4" s="61" t="s">
        <v>11</v>
      </c>
      <c r="CB4" s="61"/>
      <c r="CC4" s="61"/>
      <c r="CD4" s="61"/>
      <c r="CE4" s="61"/>
      <c r="CF4" s="61" t="s">
        <v>11</v>
      </c>
      <c r="CG4" s="61"/>
      <c r="CH4" s="61"/>
      <c r="CI4" s="61"/>
      <c r="CJ4" s="61"/>
      <c r="CK4" s="61" t="s">
        <v>11</v>
      </c>
      <c r="CL4" s="61"/>
      <c r="CM4" s="61"/>
      <c r="CN4" s="61"/>
      <c r="CO4" s="61"/>
      <c r="CP4" s="61" t="s">
        <v>11</v>
      </c>
      <c r="CQ4" s="61"/>
      <c r="CR4" s="61"/>
      <c r="CS4" s="61"/>
      <c r="CT4" s="61"/>
    </row>
    <row r="5" spans="2:98" s="15" customFormat="1" ht="10" customHeight="1" x14ac:dyDescent="0.25">
      <c r="B5" s="14"/>
      <c r="C5" s="13"/>
      <c r="D5" s="13"/>
      <c r="E5" s="13"/>
      <c r="F5" s="13"/>
      <c r="G5" s="13"/>
      <c r="H5" s="13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</row>
    <row r="6" spans="2:98" ht="25" customHeight="1" x14ac:dyDescent="0.25">
      <c r="B6" s="81" t="s">
        <v>12</v>
      </c>
      <c r="C6" s="81" t="s">
        <v>13</v>
      </c>
      <c r="D6" s="81" t="s">
        <v>14</v>
      </c>
      <c r="E6" s="81" t="s">
        <v>15</v>
      </c>
      <c r="F6" s="81" t="s">
        <v>16</v>
      </c>
      <c r="G6" s="81" t="s">
        <v>17</v>
      </c>
      <c r="H6" s="81" t="s">
        <v>18</v>
      </c>
      <c r="I6" s="28" t="s">
        <v>19</v>
      </c>
      <c r="J6" s="29"/>
      <c r="K6" s="29"/>
      <c r="L6" s="29"/>
      <c r="M6" s="30"/>
      <c r="N6" s="31" t="s">
        <v>20</v>
      </c>
      <c r="O6" s="32"/>
      <c r="P6" s="32"/>
      <c r="Q6" s="32"/>
      <c r="R6" s="33"/>
      <c r="S6" s="31" t="s">
        <v>21</v>
      </c>
      <c r="T6" s="32"/>
      <c r="U6" s="32"/>
      <c r="V6" s="32"/>
      <c r="W6" s="33"/>
      <c r="X6" s="31" t="s">
        <v>22</v>
      </c>
      <c r="Y6" s="32"/>
      <c r="Z6" s="32"/>
      <c r="AA6" s="32"/>
      <c r="AB6" s="33"/>
      <c r="AC6" s="32" t="s">
        <v>23</v>
      </c>
      <c r="AD6" s="32"/>
      <c r="AE6" s="32"/>
      <c r="AF6" s="32"/>
      <c r="AG6" s="33"/>
      <c r="AH6" s="32" t="s">
        <v>24</v>
      </c>
      <c r="AI6" s="34"/>
      <c r="AJ6" s="34"/>
      <c r="AK6" s="34"/>
      <c r="AL6" s="34"/>
      <c r="AM6" s="34" t="s">
        <v>25</v>
      </c>
      <c r="AN6" s="34"/>
      <c r="AO6" s="34"/>
      <c r="AP6" s="34"/>
      <c r="AQ6" s="34"/>
      <c r="AR6" s="34" t="s">
        <v>26</v>
      </c>
      <c r="AS6" s="34"/>
      <c r="AT6" s="34"/>
      <c r="AU6" s="34"/>
      <c r="AV6" s="34"/>
      <c r="AW6" s="34" t="s">
        <v>27</v>
      </c>
      <c r="AX6" s="34"/>
      <c r="AY6" s="34"/>
      <c r="AZ6" s="34"/>
      <c r="BA6" s="34"/>
      <c r="BB6" s="34" t="s">
        <v>28</v>
      </c>
      <c r="BC6" s="34"/>
      <c r="BD6" s="34"/>
      <c r="BE6" s="34"/>
      <c r="BF6" s="50"/>
      <c r="BG6" s="51" t="s">
        <v>29</v>
      </c>
      <c r="BH6" s="50"/>
      <c r="BI6" s="50"/>
      <c r="BJ6" s="50"/>
      <c r="BK6" s="50"/>
      <c r="BL6" s="35" t="s">
        <v>30</v>
      </c>
      <c r="BM6" s="36"/>
      <c r="BN6" s="36"/>
      <c r="BO6" s="36"/>
      <c r="BP6" s="37"/>
      <c r="BQ6" s="35" t="s">
        <v>31</v>
      </c>
      <c r="BR6" s="36"/>
      <c r="BS6" s="36"/>
      <c r="BT6" s="36"/>
      <c r="BU6" s="36"/>
      <c r="BV6" s="35" t="s">
        <v>32</v>
      </c>
      <c r="BW6" s="36"/>
      <c r="BX6" s="36"/>
      <c r="BY6" s="36"/>
      <c r="BZ6" s="37"/>
      <c r="CA6" s="52" t="s">
        <v>31</v>
      </c>
      <c r="CB6" s="53"/>
      <c r="CC6" s="53"/>
      <c r="CD6" s="53"/>
      <c r="CE6" s="53"/>
      <c r="CF6" s="52" t="s">
        <v>32</v>
      </c>
      <c r="CG6" s="53"/>
      <c r="CH6" s="53"/>
      <c r="CI6" s="53"/>
      <c r="CJ6" s="53"/>
      <c r="CK6" s="52" t="s">
        <v>33</v>
      </c>
      <c r="CL6" s="53"/>
      <c r="CM6" s="53"/>
      <c r="CN6" s="53"/>
      <c r="CO6" s="53"/>
      <c r="CP6" s="52" t="s">
        <v>33</v>
      </c>
      <c r="CQ6" s="53"/>
      <c r="CR6" s="53"/>
      <c r="CS6" s="53"/>
      <c r="CT6" s="53"/>
    </row>
    <row r="7" spans="2:98" ht="25" customHeight="1" x14ac:dyDescent="0.25">
      <c r="B7" s="82"/>
      <c r="C7" s="82"/>
      <c r="D7" s="82"/>
      <c r="E7" s="82"/>
      <c r="F7" s="82"/>
      <c r="G7" s="82"/>
      <c r="H7" s="82"/>
      <c r="I7" s="21" t="s">
        <v>34</v>
      </c>
      <c r="J7" s="20" t="s">
        <v>35</v>
      </c>
      <c r="K7" s="20" t="s">
        <v>36</v>
      </c>
      <c r="L7" s="20" t="s">
        <v>37</v>
      </c>
      <c r="M7" s="20" t="s">
        <v>38</v>
      </c>
      <c r="N7" s="22" t="s">
        <v>34</v>
      </c>
      <c r="O7" s="22" t="s">
        <v>35</v>
      </c>
      <c r="P7" s="22" t="s">
        <v>36</v>
      </c>
      <c r="Q7" s="22" t="s">
        <v>37</v>
      </c>
      <c r="R7" s="22" t="s">
        <v>38</v>
      </c>
      <c r="S7" s="22" t="s">
        <v>34</v>
      </c>
      <c r="T7" s="22" t="s">
        <v>35</v>
      </c>
      <c r="U7" s="22" t="s">
        <v>36</v>
      </c>
      <c r="V7" s="22" t="s">
        <v>37</v>
      </c>
      <c r="W7" s="22" t="s">
        <v>38</v>
      </c>
      <c r="X7" s="22" t="s">
        <v>34</v>
      </c>
      <c r="Y7" s="22" t="s">
        <v>35</v>
      </c>
      <c r="Z7" s="22" t="s">
        <v>36</v>
      </c>
      <c r="AA7" s="22" t="s">
        <v>37</v>
      </c>
      <c r="AB7" s="22" t="s">
        <v>38</v>
      </c>
      <c r="AC7" s="22" t="s">
        <v>34</v>
      </c>
      <c r="AD7" s="22" t="s">
        <v>35</v>
      </c>
      <c r="AE7" s="22" t="s">
        <v>36</v>
      </c>
      <c r="AF7" s="22" t="s">
        <v>37</v>
      </c>
      <c r="AG7" s="22" t="s">
        <v>38</v>
      </c>
      <c r="AH7" s="22" t="s">
        <v>34</v>
      </c>
      <c r="AI7" s="23" t="s">
        <v>35</v>
      </c>
      <c r="AJ7" s="23" t="s">
        <v>36</v>
      </c>
      <c r="AK7" s="23" t="s">
        <v>37</v>
      </c>
      <c r="AL7" s="23" t="s">
        <v>38</v>
      </c>
      <c r="AM7" s="23" t="s">
        <v>34</v>
      </c>
      <c r="AN7" s="23" t="s">
        <v>35</v>
      </c>
      <c r="AO7" s="23" t="s">
        <v>36</v>
      </c>
      <c r="AP7" s="23" t="s">
        <v>37</v>
      </c>
      <c r="AQ7" s="23" t="s">
        <v>38</v>
      </c>
      <c r="AR7" s="23" t="s">
        <v>34</v>
      </c>
      <c r="AS7" s="23" t="s">
        <v>35</v>
      </c>
      <c r="AT7" s="23" t="s">
        <v>36</v>
      </c>
      <c r="AU7" s="23" t="s">
        <v>37</v>
      </c>
      <c r="AV7" s="23" t="s">
        <v>38</v>
      </c>
      <c r="AW7" s="23" t="s">
        <v>34</v>
      </c>
      <c r="AX7" s="23" t="s">
        <v>35</v>
      </c>
      <c r="AY7" s="23" t="s">
        <v>36</v>
      </c>
      <c r="AZ7" s="23" t="s">
        <v>37</v>
      </c>
      <c r="BA7" s="23" t="s">
        <v>38</v>
      </c>
      <c r="BB7" s="23" t="s">
        <v>34</v>
      </c>
      <c r="BC7" s="23" t="s">
        <v>35</v>
      </c>
      <c r="BD7" s="23" t="s">
        <v>36</v>
      </c>
      <c r="BE7" s="23" t="s">
        <v>37</v>
      </c>
      <c r="BF7" s="24" t="s">
        <v>38</v>
      </c>
      <c r="BG7" s="24" t="s">
        <v>34</v>
      </c>
      <c r="BH7" s="24" t="s">
        <v>35</v>
      </c>
      <c r="BI7" s="24" t="s">
        <v>36</v>
      </c>
      <c r="BJ7" s="24" t="s">
        <v>37</v>
      </c>
      <c r="BK7" s="24" t="s">
        <v>38</v>
      </c>
      <c r="BL7" s="24" t="s">
        <v>34</v>
      </c>
      <c r="BM7" s="24" t="s">
        <v>35</v>
      </c>
      <c r="BN7" s="24" t="s">
        <v>36</v>
      </c>
      <c r="BO7" s="24" t="s">
        <v>37</v>
      </c>
      <c r="BP7" s="24" t="s">
        <v>38</v>
      </c>
      <c r="BQ7" s="24" t="s">
        <v>34</v>
      </c>
      <c r="BR7" s="24" t="s">
        <v>35</v>
      </c>
      <c r="BS7" s="24" t="s">
        <v>36</v>
      </c>
      <c r="BT7" s="24" t="s">
        <v>37</v>
      </c>
      <c r="BU7" s="24" t="s">
        <v>38</v>
      </c>
      <c r="BV7" s="24" t="s">
        <v>34</v>
      </c>
      <c r="BW7" s="24" t="s">
        <v>35</v>
      </c>
      <c r="BX7" s="24" t="s">
        <v>36</v>
      </c>
      <c r="BY7" s="24" t="s">
        <v>37</v>
      </c>
      <c r="BZ7" s="24" t="s">
        <v>38</v>
      </c>
      <c r="CA7" s="54" t="s">
        <v>34</v>
      </c>
      <c r="CB7" s="54" t="s">
        <v>35</v>
      </c>
      <c r="CC7" s="54" t="s">
        <v>36</v>
      </c>
      <c r="CD7" s="54" t="s">
        <v>37</v>
      </c>
      <c r="CE7" s="54" t="s">
        <v>38</v>
      </c>
      <c r="CF7" s="54" t="s">
        <v>34</v>
      </c>
      <c r="CG7" s="54" t="s">
        <v>35</v>
      </c>
      <c r="CH7" s="54" t="s">
        <v>36</v>
      </c>
      <c r="CI7" s="54" t="s">
        <v>37</v>
      </c>
      <c r="CJ7" s="54" t="s">
        <v>38</v>
      </c>
      <c r="CK7" s="54" t="s">
        <v>34</v>
      </c>
      <c r="CL7" s="54" t="s">
        <v>35</v>
      </c>
      <c r="CM7" s="54" t="s">
        <v>36</v>
      </c>
      <c r="CN7" s="54" t="s">
        <v>37</v>
      </c>
      <c r="CO7" s="54" t="s">
        <v>38</v>
      </c>
      <c r="CP7" s="54" t="s">
        <v>34</v>
      </c>
      <c r="CQ7" s="54" t="s">
        <v>35</v>
      </c>
      <c r="CR7" s="54" t="s">
        <v>36</v>
      </c>
      <c r="CS7" s="54" t="s">
        <v>37</v>
      </c>
      <c r="CT7" s="54" t="s">
        <v>38</v>
      </c>
    </row>
    <row r="8" spans="2:98" ht="25" customHeight="1" x14ac:dyDescent="0.25">
      <c r="B8" s="83"/>
      <c r="C8" s="83"/>
      <c r="D8" s="83"/>
      <c r="E8" s="83"/>
      <c r="F8" s="83"/>
      <c r="G8" s="83"/>
      <c r="H8" s="83"/>
      <c r="I8" s="49">
        <v>26</v>
      </c>
      <c r="J8" s="49">
        <v>27</v>
      </c>
      <c r="K8" s="49">
        <v>28</v>
      </c>
      <c r="L8" s="49">
        <v>29</v>
      </c>
      <c r="M8" s="49">
        <v>30</v>
      </c>
      <c r="N8" s="49">
        <v>3</v>
      </c>
      <c r="O8" s="49">
        <v>4</v>
      </c>
      <c r="P8" s="49">
        <v>5</v>
      </c>
      <c r="Q8" s="49">
        <v>6</v>
      </c>
      <c r="R8" s="49">
        <v>7</v>
      </c>
      <c r="S8" s="49">
        <v>10</v>
      </c>
      <c r="T8" s="49">
        <v>11</v>
      </c>
      <c r="U8" s="49">
        <v>12</v>
      </c>
      <c r="V8" s="49">
        <v>13</v>
      </c>
      <c r="W8" s="49">
        <v>14</v>
      </c>
      <c r="X8" s="49">
        <v>17</v>
      </c>
      <c r="Y8" s="49">
        <v>18</v>
      </c>
      <c r="Z8" s="49">
        <v>19</v>
      </c>
      <c r="AA8" s="49">
        <v>20</v>
      </c>
      <c r="AB8" s="49">
        <v>21</v>
      </c>
      <c r="AC8" s="49">
        <v>24</v>
      </c>
      <c r="AD8" s="49">
        <v>25</v>
      </c>
      <c r="AE8" s="49">
        <v>26</v>
      </c>
      <c r="AF8" s="49">
        <v>27</v>
      </c>
      <c r="AG8" s="49">
        <v>28</v>
      </c>
      <c r="AH8" s="49">
        <v>31</v>
      </c>
      <c r="AI8" s="49">
        <v>1</v>
      </c>
      <c r="AJ8" s="49">
        <v>2</v>
      </c>
      <c r="AK8" s="49">
        <v>3</v>
      </c>
      <c r="AL8" s="49">
        <v>4</v>
      </c>
      <c r="AM8" s="49">
        <v>7</v>
      </c>
      <c r="AN8" s="49">
        <v>8</v>
      </c>
      <c r="AO8" s="49">
        <v>9</v>
      </c>
      <c r="AP8" s="49">
        <v>10</v>
      </c>
      <c r="AQ8" s="49">
        <v>11</v>
      </c>
      <c r="AR8" s="49">
        <v>14</v>
      </c>
      <c r="AS8" s="49">
        <v>15</v>
      </c>
      <c r="AT8" s="49">
        <v>16</v>
      </c>
      <c r="AU8" s="49">
        <v>17</v>
      </c>
      <c r="AV8" s="49">
        <v>18</v>
      </c>
      <c r="AW8" s="49">
        <v>21</v>
      </c>
      <c r="AX8" s="49">
        <v>22</v>
      </c>
      <c r="AY8" s="49">
        <v>23</v>
      </c>
      <c r="AZ8" s="49">
        <v>24</v>
      </c>
      <c r="BA8" s="49">
        <v>25</v>
      </c>
      <c r="BB8" s="49">
        <v>28</v>
      </c>
      <c r="BC8" s="49">
        <v>29</v>
      </c>
      <c r="BD8" s="49">
        <v>30</v>
      </c>
      <c r="BE8" s="49">
        <v>31</v>
      </c>
      <c r="BF8" s="49">
        <v>1</v>
      </c>
      <c r="BG8" s="49">
        <v>4</v>
      </c>
      <c r="BH8" s="49">
        <v>5</v>
      </c>
      <c r="BI8" s="49">
        <v>6</v>
      </c>
      <c r="BJ8" s="49">
        <v>7</v>
      </c>
      <c r="BK8" s="49">
        <v>8</v>
      </c>
      <c r="BL8" s="49">
        <v>11</v>
      </c>
      <c r="BM8" s="49">
        <v>12</v>
      </c>
      <c r="BN8" s="49">
        <v>13</v>
      </c>
      <c r="BO8" s="49">
        <v>14</v>
      </c>
      <c r="BP8" s="49">
        <v>15</v>
      </c>
      <c r="BQ8" s="49">
        <v>18</v>
      </c>
      <c r="BR8" s="49">
        <v>19</v>
      </c>
      <c r="BS8" s="49">
        <v>20</v>
      </c>
      <c r="BT8" s="49">
        <v>21</v>
      </c>
      <c r="BU8" s="49">
        <v>22</v>
      </c>
      <c r="BV8" s="49">
        <v>25</v>
      </c>
      <c r="BW8" s="49">
        <v>26</v>
      </c>
      <c r="BX8" s="49">
        <v>27</v>
      </c>
      <c r="BY8" s="49">
        <v>28</v>
      </c>
      <c r="BZ8" s="49">
        <v>29</v>
      </c>
      <c r="CA8" s="49">
        <v>2</v>
      </c>
      <c r="CB8" s="49">
        <v>3</v>
      </c>
      <c r="CC8" s="49">
        <v>4</v>
      </c>
      <c r="CD8" s="49">
        <v>5</v>
      </c>
      <c r="CE8" s="49">
        <v>6</v>
      </c>
      <c r="CF8" s="49">
        <v>9</v>
      </c>
      <c r="CG8" s="49">
        <v>10</v>
      </c>
      <c r="CH8" s="49">
        <v>11</v>
      </c>
      <c r="CI8" s="49">
        <v>12</v>
      </c>
      <c r="CJ8" s="49">
        <v>13</v>
      </c>
      <c r="CK8" s="49">
        <v>16</v>
      </c>
      <c r="CL8" s="49">
        <v>17</v>
      </c>
      <c r="CM8" s="49">
        <v>18</v>
      </c>
      <c r="CN8" s="49">
        <v>19</v>
      </c>
      <c r="CO8" s="49">
        <v>20</v>
      </c>
      <c r="CP8" s="49">
        <v>23</v>
      </c>
      <c r="CQ8" s="49">
        <v>24</v>
      </c>
      <c r="CR8" s="49">
        <v>25</v>
      </c>
      <c r="CS8" s="49">
        <v>26</v>
      </c>
      <c r="CT8" s="49">
        <v>27</v>
      </c>
    </row>
    <row r="9" spans="2:98" ht="20.149999999999999" customHeight="1" x14ac:dyDescent="0.25">
      <c r="B9" s="25">
        <v>1</v>
      </c>
      <c r="C9" s="18" t="s">
        <v>39</v>
      </c>
      <c r="D9" s="18"/>
      <c r="E9" s="6"/>
      <c r="F9" s="6"/>
      <c r="G9" s="7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</row>
    <row r="10" spans="2:98" ht="12.5" x14ac:dyDescent="0.25">
      <c r="B10" s="26">
        <v>1.1000000000000001</v>
      </c>
      <c r="C10" s="40" t="s">
        <v>40</v>
      </c>
      <c r="D10" s="17"/>
      <c r="E10" s="9">
        <v>45107</v>
      </c>
      <c r="F10" s="9">
        <v>45110</v>
      </c>
      <c r="G10" s="10">
        <f>NETWORKDAYS(E10,F10)</f>
        <v>2</v>
      </c>
      <c r="H10" s="47">
        <v>1</v>
      </c>
      <c r="I10" s="4"/>
      <c r="J10" s="4"/>
      <c r="K10" s="48"/>
      <c r="L10" s="48"/>
      <c r="M10" s="45"/>
      <c r="N10" s="45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</row>
    <row r="11" spans="2:98" ht="20.149999999999999" customHeight="1" x14ac:dyDescent="0.25">
      <c r="B11" s="26" t="s">
        <v>41</v>
      </c>
      <c r="C11" s="41" t="s">
        <v>42</v>
      </c>
      <c r="D11" s="17"/>
      <c r="E11" s="9">
        <v>45110</v>
      </c>
      <c r="F11" s="9">
        <v>45111</v>
      </c>
      <c r="G11" s="10">
        <f t="shared" ref="G11:G13" si="0">NETWORKDAYS(E11,F11)</f>
        <v>2</v>
      </c>
      <c r="H11" s="47">
        <v>1</v>
      </c>
      <c r="I11" s="4"/>
      <c r="J11" s="4"/>
      <c r="K11" s="4"/>
      <c r="L11" s="4"/>
      <c r="M11" s="4"/>
      <c r="N11" s="45"/>
      <c r="O11" s="45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</row>
    <row r="12" spans="2:98" ht="12.5" x14ac:dyDescent="0.25">
      <c r="B12" s="26" t="s">
        <v>43</v>
      </c>
      <c r="C12" s="41" t="s">
        <v>44</v>
      </c>
      <c r="D12" s="17"/>
      <c r="E12" s="9">
        <v>45111</v>
      </c>
      <c r="F12" s="9">
        <v>45111</v>
      </c>
      <c r="G12" s="10">
        <f t="shared" si="0"/>
        <v>1</v>
      </c>
      <c r="H12" s="47">
        <v>1</v>
      </c>
      <c r="I12" s="4"/>
      <c r="J12" s="4"/>
      <c r="K12" s="4"/>
      <c r="L12" s="4"/>
      <c r="M12" s="4"/>
      <c r="O12" s="45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</row>
    <row r="13" spans="2:98" ht="12.5" x14ac:dyDescent="0.25">
      <c r="B13" s="26" t="s">
        <v>45</v>
      </c>
      <c r="C13" s="41" t="s">
        <v>46</v>
      </c>
      <c r="D13" s="17"/>
      <c r="E13" s="9">
        <v>45117</v>
      </c>
      <c r="F13" s="9">
        <v>45117</v>
      </c>
      <c r="G13" s="10">
        <f t="shared" si="0"/>
        <v>1</v>
      </c>
      <c r="H13" s="47">
        <v>1</v>
      </c>
      <c r="I13" s="4"/>
      <c r="J13" s="4"/>
      <c r="K13" s="4"/>
      <c r="L13" s="4"/>
      <c r="M13" s="4"/>
      <c r="N13" s="4"/>
      <c r="O13" s="45"/>
      <c r="P13" s="76" t="s">
        <v>47</v>
      </c>
      <c r="Q13" s="77"/>
      <c r="R13" s="78"/>
      <c r="S13" s="45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</row>
    <row r="14" spans="2:98" ht="20.149999999999999" customHeight="1" x14ac:dyDescent="0.25">
      <c r="B14" s="26">
        <v>2</v>
      </c>
      <c r="C14" s="19" t="s">
        <v>48</v>
      </c>
      <c r="D14" s="19"/>
      <c r="E14" s="11"/>
      <c r="F14" s="11"/>
      <c r="G14" s="11"/>
      <c r="H14" s="12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</row>
    <row r="15" spans="2:98" ht="20.149999999999999" customHeight="1" x14ac:dyDescent="0.25">
      <c r="B15" s="26">
        <v>2.1</v>
      </c>
      <c r="C15" s="39" t="s">
        <v>49</v>
      </c>
      <c r="D15" s="17"/>
      <c r="E15" s="9">
        <v>45117</v>
      </c>
      <c r="F15" s="9">
        <v>45118</v>
      </c>
      <c r="G15" s="10">
        <f>NETWORKDAYS(E15,F15)</f>
        <v>2</v>
      </c>
      <c r="H15" s="47">
        <v>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5"/>
      <c r="T15" s="45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</row>
    <row r="16" spans="2:98" ht="12.5" x14ac:dyDescent="0.25">
      <c r="B16" s="26" t="s">
        <v>50</v>
      </c>
      <c r="C16" s="42" t="s">
        <v>51</v>
      </c>
      <c r="D16" s="17"/>
      <c r="E16" s="9">
        <v>45118</v>
      </c>
      <c r="F16" s="9">
        <v>45124</v>
      </c>
      <c r="G16" s="10">
        <f t="shared" ref="G16:G24" si="1">NETWORKDAYS(E16,F16)</f>
        <v>5</v>
      </c>
      <c r="H16" s="47">
        <v>1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5"/>
      <c r="U16" s="45"/>
      <c r="V16" s="48"/>
      <c r="W16" s="45"/>
      <c r="X16" s="45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</row>
    <row r="17" spans="2:98" ht="20.149999999999999" customHeight="1" x14ac:dyDescent="0.25">
      <c r="B17" s="26" t="s">
        <v>52</v>
      </c>
      <c r="C17" s="42" t="s">
        <v>53</v>
      </c>
      <c r="D17" s="17"/>
      <c r="E17" s="9">
        <v>45124</v>
      </c>
      <c r="F17" s="9">
        <v>45133</v>
      </c>
      <c r="G17" s="10">
        <f t="shared" si="1"/>
        <v>8</v>
      </c>
      <c r="H17" s="47">
        <v>1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5"/>
      <c r="Y17" s="59" t="s">
        <v>54</v>
      </c>
      <c r="Z17" s="60"/>
      <c r="AA17" s="48"/>
      <c r="AB17" s="45"/>
      <c r="AC17" s="45"/>
      <c r="AD17" s="45"/>
      <c r="AE17" s="45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</row>
    <row r="18" spans="2:98" ht="20.149999999999999" customHeight="1" x14ac:dyDescent="0.25">
      <c r="B18" s="26" t="s">
        <v>55</v>
      </c>
      <c r="C18" s="42" t="s">
        <v>56</v>
      </c>
      <c r="D18" s="17"/>
      <c r="E18" s="9">
        <v>45149</v>
      </c>
      <c r="F18" s="9">
        <v>45166</v>
      </c>
      <c r="G18" s="10">
        <f t="shared" si="1"/>
        <v>12</v>
      </c>
      <c r="H18" s="47">
        <v>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5"/>
      <c r="AR18" s="45"/>
      <c r="AS18" s="45"/>
      <c r="AT18" s="45"/>
      <c r="AU18" s="45"/>
      <c r="AV18" s="45"/>
      <c r="AW18" s="48"/>
      <c r="AX18" s="45"/>
      <c r="AY18" s="45"/>
      <c r="AZ18" s="45"/>
      <c r="BA18" s="45"/>
      <c r="BB18" s="48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</row>
    <row r="19" spans="2:98" ht="20.149999999999999" customHeight="1" x14ac:dyDescent="0.25">
      <c r="B19" s="26" t="s">
        <v>57</v>
      </c>
      <c r="C19" s="42" t="s">
        <v>58</v>
      </c>
      <c r="D19" s="17"/>
      <c r="E19" s="9">
        <v>45166</v>
      </c>
      <c r="F19" s="9">
        <v>45167</v>
      </c>
      <c r="G19" s="10">
        <f t="shared" si="1"/>
        <v>2</v>
      </c>
      <c r="H19" s="47">
        <v>0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W19" s="4"/>
      <c r="AX19" s="4"/>
      <c r="AY19" s="4"/>
      <c r="AZ19" s="4"/>
      <c r="BA19" s="4"/>
      <c r="BB19" s="48"/>
      <c r="BC19" s="45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</row>
    <row r="20" spans="2:98" ht="20.149999999999999" customHeight="1" x14ac:dyDescent="0.25">
      <c r="B20" s="26" t="s">
        <v>59</v>
      </c>
      <c r="C20" s="17" t="s">
        <v>60</v>
      </c>
      <c r="D20" s="17"/>
      <c r="E20" s="9">
        <v>45167</v>
      </c>
      <c r="F20" s="9">
        <v>45168</v>
      </c>
      <c r="G20" s="10">
        <f t="shared" si="1"/>
        <v>2</v>
      </c>
      <c r="H20" s="47"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5"/>
      <c r="BD20" s="45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</row>
    <row r="21" spans="2:98" ht="20.149999999999999" customHeight="1" x14ac:dyDescent="0.25">
      <c r="B21" s="26" t="s">
        <v>61</v>
      </c>
      <c r="C21" s="38" t="s">
        <v>62</v>
      </c>
      <c r="D21" s="17"/>
      <c r="E21" s="9">
        <v>45168</v>
      </c>
      <c r="F21" s="9">
        <v>45169</v>
      </c>
      <c r="G21" s="10">
        <f t="shared" si="1"/>
        <v>2</v>
      </c>
      <c r="H21" s="47">
        <v>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5"/>
      <c r="BE21" s="45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</row>
    <row r="22" spans="2:98" ht="20.149999999999999" customHeight="1" x14ac:dyDescent="0.25">
      <c r="B22" s="26" t="s">
        <v>63</v>
      </c>
      <c r="C22" s="38" t="s">
        <v>64</v>
      </c>
      <c r="D22" s="17"/>
      <c r="E22" s="9">
        <v>45169</v>
      </c>
      <c r="F22" s="9">
        <v>45170</v>
      </c>
      <c r="G22" s="10">
        <f t="shared" si="1"/>
        <v>2</v>
      </c>
      <c r="H22" s="47"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5"/>
      <c r="BF22" s="45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</row>
    <row r="23" spans="2:98" ht="20.149999999999999" customHeight="1" x14ac:dyDescent="0.25">
      <c r="B23" s="26" t="s">
        <v>65</v>
      </c>
      <c r="C23" s="38" t="s">
        <v>66</v>
      </c>
      <c r="D23" s="17"/>
      <c r="E23" s="9">
        <v>45170</v>
      </c>
      <c r="F23" s="9">
        <v>45174</v>
      </c>
      <c r="G23" s="10">
        <f t="shared" si="1"/>
        <v>3</v>
      </c>
      <c r="H23" s="47">
        <v>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5"/>
      <c r="BG23" s="45"/>
      <c r="BH23" s="45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</row>
    <row r="24" spans="2:98" ht="20.149999999999999" customHeight="1" x14ac:dyDescent="0.25">
      <c r="B24" s="26" t="s">
        <v>67</v>
      </c>
      <c r="C24" s="43" t="s">
        <v>68</v>
      </c>
      <c r="D24" s="17"/>
      <c r="E24" s="9">
        <v>45174</v>
      </c>
      <c r="F24" s="9">
        <v>45187</v>
      </c>
      <c r="G24" s="10">
        <f t="shared" si="1"/>
        <v>10</v>
      </c>
      <c r="H24" s="47">
        <v>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F24" s="4"/>
      <c r="BG24" s="4"/>
      <c r="BH24" s="45"/>
      <c r="BI24" s="45"/>
      <c r="BJ24" s="45"/>
      <c r="BK24" s="48"/>
      <c r="BL24" s="45"/>
      <c r="BM24" s="45"/>
      <c r="BN24" s="45"/>
      <c r="BO24" s="45"/>
      <c r="BP24" s="48"/>
      <c r="BQ24" s="45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</row>
    <row r="25" spans="2:98" ht="20.149999999999999" customHeight="1" x14ac:dyDescent="0.25">
      <c r="B25" s="26" t="s">
        <v>69</v>
      </c>
      <c r="C25" s="19" t="s">
        <v>70</v>
      </c>
      <c r="D25" s="19"/>
      <c r="E25" s="11"/>
      <c r="F25" s="11"/>
      <c r="G25" s="11"/>
      <c r="H25" s="11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</row>
    <row r="26" spans="2:98" ht="20.149999999999999" customHeight="1" x14ac:dyDescent="0.25">
      <c r="B26" s="26" t="s">
        <v>71</v>
      </c>
      <c r="C26" s="17" t="s">
        <v>72</v>
      </c>
      <c r="D26" s="17"/>
      <c r="E26" s="9">
        <v>45133</v>
      </c>
      <c r="F26" s="9">
        <v>45135</v>
      </c>
      <c r="G26" s="10">
        <f t="shared" ref="G26:G31" si="2">NETWORKDAYS(E26,F26)</f>
        <v>3</v>
      </c>
      <c r="H26" s="47">
        <v>1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5"/>
      <c r="AF26" s="48"/>
      <c r="AG26" s="45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</row>
    <row r="27" spans="2:98" ht="20.149999999999999" customHeight="1" x14ac:dyDescent="0.25">
      <c r="B27" s="26" t="s">
        <v>73</v>
      </c>
      <c r="C27" s="17" t="s">
        <v>74</v>
      </c>
      <c r="D27" s="17"/>
      <c r="E27" s="9">
        <v>45135</v>
      </c>
      <c r="F27" s="9">
        <v>45139</v>
      </c>
      <c r="G27" s="10">
        <f t="shared" si="2"/>
        <v>3</v>
      </c>
      <c r="H27" s="47">
        <v>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5"/>
      <c r="AH27" s="48"/>
      <c r="AI27" s="45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</row>
    <row r="28" spans="2:98" ht="20.149999999999999" customHeight="1" x14ac:dyDescent="0.25">
      <c r="B28" s="26" t="s">
        <v>75</v>
      </c>
      <c r="C28" s="17" t="s">
        <v>76</v>
      </c>
      <c r="D28" s="17"/>
      <c r="E28" s="9">
        <v>45139</v>
      </c>
      <c r="F28" s="9">
        <v>45140</v>
      </c>
      <c r="G28" s="10">
        <f t="shared" si="2"/>
        <v>2</v>
      </c>
      <c r="H28" s="47">
        <v>1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5"/>
      <c r="AJ28" s="45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</row>
    <row r="29" spans="2:98" ht="20.149999999999999" customHeight="1" x14ac:dyDescent="0.25">
      <c r="B29" s="26" t="s">
        <v>77</v>
      </c>
      <c r="C29" s="17" t="s">
        <v>78</v>
      </c>
      <c r="D29" s="17"/>
      <c r="E29" s="9">
        <v>45140</v>
      </c>
      <c r="F29" s="9">
        <v>45141</v>
      </c>
      <c r="G29" s="10">
        <f t="shared" si="2"/>
        <v>2</v>
      </c>
      <c r="H29" s="47">
        <v>0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5"/>
      <c r="AK29" s="45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</row>
    <row r="30" spans="2:98" ht="20.149999999999999" customHeight="1" x14ac:dyDescent="0.25">
      <c r="B30" s="26" t="s">
        <v>79</v>
      </c>
      <c r="C30" s="17" t="s">
        <v>80</v>
      </c>
      <c r="D30" s="17"/>
      <c r="E30" s="9">
        <v>45141</v>
      </c>
      <c r="F30" s="9">
        <v>45145</v>
      </c>
      <c r="G30" s="10">
        <f t="shared" si="2"/>
        <v>3</v>
      </c>
      <c r="H30" s="47">
        <v>0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5"/>
      <c r="AL30" s="45"/>
      <c r="AM30" s="45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</row>
    <row r="31" spans="2:98" ht="20.149999999999999" customHeight="1" x14ac:dyDescent="0.25">
      <c r="B31" s="26" t="s">
        <v>81</v>
      </c>
      <c r="C31" s="17" t="s">
        <v>82</v>
      </c>
      <c r="D31" s="17"/>
      <c r="E31" s="9">
        <v>45145</v>
      </c>
      <c r="F31" s="9">
        <v>45149</v>
      </c>
      <c r="G31" s="10">
        <f t="shared" si="2"/>
        <v>5</v>
      </c>
      <c r="H31" s="47">
        <v>0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5"/>
      <c r="AN31" s="45"/>
      <c r="AO31" s="45"/>
      <c r="AP31" s="45"/>
      <c r="AQ31" s="45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</row>
    <row r="32" spans="2:98" ht="20.149999999999999" customHeight="1" x14ac:dyDescent="0.25">
      <c r="B32" s="26">
        <v>4</v>
      </c>
      <c r="C32" s="19" t="s">
        <v>83</v>
      </c>
      <c r="D32" s="19"/>
      <c r="E32" s="11"/>
      <c r="F32" s="11"/>
      <c r="G32" s="11"/>
      <c r="H32" s="12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</row>
    <row r="33" spans="2:98" ht="20.149999999999999" customHeight="1" x14ac:dyDescent="0.25">
      <c r="B33" s="26">
        <v>4.0999999999999996</v>
      </c>
      <c r="C33" s="17" t="s">
        <v>84</v>
      </c>
      <c r="D33" s="17"/>
      <c r="E33" s="9">
        <v>45133</v>
      </c>
      <c r="F33" s="9">
        <v>45139</v>
      </c>
      <c r="G33" s="10">
        <f>NETWORKDAYS(E33,F33)</f>
        <v>5</v>
      </c>
      <c r="H33" s="47">
        <v>1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58"/>
      <c r="AF33" s="58"/>
      <c r="AG33" s="58"/>
      <c r="AH33" s="48"/>
      <c r="AI33" s="58"/>
      <c r="AJ33" s="58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</row>
    <row r="34" spans="2:98" ht="20.149999999999999" customHeight="1" x14ac:dyDescent="0.25">
      <c r="B34" s="26">
        <v>4.2</v>
      </c>
      <c r="C34" s="17" t="s">
        <v>60</v>
      </c>
      <c r="D34" s="17"/>
      <c r="E34" s="9">
        <v>45139</v>
      </c>
      <c r="F34" s="9">
        <v>45140</v>
      </c>
      <c r="G34" s="10">
        <f t="shared" ref="G34:G40" si="3">NETWORKDAYS(E34,F34)</f>
        <v>2</v>
      </c>
      <c r="H34" s="47"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58"/>
      <c r="AK34" s="58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</row>
    <row r="35" spans="2:98" ht="20.149999999999999" customHeight="1" x14ac:dyDescent="0.25">
      <c r="B35" s="26" t="s">
        <v>85</v>
      </c>
      <c r="C35" s="38" t="s">
        <v>64</v>
      </c>
      <c r="D35" s="17"/>
      <c r="E35" s="9">
        <v>45140</v>
      </c>
      <c r="F35" s="9">
        <v>45141</v>
      </c>
      <c r="G35" s="10">
        <f t="shared" si="3"/>
        <v>2</v>
      </c>
      <c r="H35" s="47">
        <v>0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58"/>
      <c r="AL35" s="58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</row>
    <row r="36" spans="2:98" ht="20.149999999999999" customHeight="1" x14ac:dyDescent="0.25">
      <c r="B36" s="26" t="s">
        <v>86</v>
      </c>
      <c r="C36" s="38" t="s">
        <v>66</v>
      </c>
      <c r="D36" s="17"/>
      <c r="E36" s="9">
        <v>45141</v>
      </c>
      <c r="F36" s="9">
        <v>45143</v>
      </c>
      <c r="G36" s="10">
        <f t="shared" si="3"/>
        <v>2</v>
      </c>
      <c r="H36" s="47">
        <v>0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58"/>
      <c r="AM36" s="58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</row>
    <row r="37" spans="2:98" ht="20.149999999999999" customHeight="1" x14ac:dyDescent="0.25">
      <c r="B37" s="26" t="s">
        <v>87</v>
      </c>
      <c r="C37" s="43" t="s">
        <v>68</v>
      </c>
      <c r="D37" s="17"/>
      <c r="E37" s="9">
        <v>45143</v>
      </c>
      <c r="F37" s="9">
        <v>45165</v>
      </c>
      <c r="G37" s="10">
        <f t="shared" si="3"/>
        <v>15</v>
      </c>
      <c r="H37" s="47">
        <v>0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48"/>
      <c r="AX37" s="58"/>
      <c r="AY37" s="58"/>
      <c r="AZ37" s="58"/>
      <c r="BA37" s="58"/>
      <c r="BB37" s="48"/>
      <c r="BC37" s="58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</row>
    <row r="38" spans="2:98" ht="20.149999999999999" customHeight="1" x14ac:dyDescent="0.25">
      <c r="B38" s="26">
        <v>4.4000000000000004</v>
      </c>
      <c r="C38" s="17" t="s">
        <v>88</v>
      </c>
      <c r="D38" s="17"/>
      <c r="E38" s="9">
        <v>45165</v>
      </c>
      <c r="F38" s="9">
        <v>45171</v>
      </c>
      <c r="G38" s="10">
        <f t="shared" si="3"/>
        <v>5</v>
      </c>
      <c r="H38" s="47"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V38" s="4"/>
      <c r="AW38" s="4"/>
      <c r="AX38" s="4"/>
      <c r="AY38" s="4"/>
      <c r="AZ38" s="4"/>
      <c r="BA38" s="4"/>
      <c r="BB38" s="4"/>
      <c r="BC38" s="58"/>
      <c r="BD38" s="58"/>
      <c r="BE38" s="58"/>
      <c r="BF38" s="58"/>
      <c r="BG38" s="4"/>
      <c r="BH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</row>
    <row r="39" spans="2:98" ht="20.149999999999999" customHeight="1" x14ac:dyDescent="0.25">
      <c r="B39" s="26">
        <v>4.5</v>
      </c>
      <c r="C39" s="17" t="s">
        <v>89</v>
      </c>
      <c r="D39" s="17"/>
      <c r="E39" s="9">
        <v>45171</v>
      </c>
      <c r="F39" s="9">
        <v>45192</v>
      </c>
      <c r="G39" s="10">
        <f t="shared" si="3"/>
        <v>15</v>
      </c>
      <c r="H39" s="47">
        <v>0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</row>
    <row r="40" spans="2:98" ht="20.149999999999999" customHeight="1" x14ac:dyDescent="0.25">
      <c r="B40" s="26">
        <v>4.5999999999999996</v>
      </c>
      <c r="C40" s="17" t="s">
        <v>90</v>
      </c>
      <c r="D40" s="17"/>
      <c r="E40" s="9">
        <v>45192</v>
      </c>
      <c r="F40" s="9">
        <v>45197</v>
      </c>
      <c r="G40" s="10">
        <f t="shared" si="3"/>
        <v>4</v>
      </c>
      <c r="H40" s="47"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58"/>
      <c r="BT40" s="58"/>
      <c r="BU40" s="58"/>
      <c r="BV40" s="58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</row>
    <row r="41" spans="2:98" ht="20.149999999999999" customHeight="1" x14ac:dyDescent="0.25">
      <c r="B41" s="26">
        <v>5</v>
      </c>
      <c r="C41" s="19" t="s">
        <v>91</v>
      </c>
      <c r="D41" s="19"/>
      <c r="E41" s="11"/>
      <c r="F41" s="11"/>
      <c r="G41" s="11"/>
      <c r="H41" s="11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</row>
    <row r="42" spans="2:98" ht="20.149999999999999" customHeight="1" x14ac:dyDescent="0.25">
      <c r="B42" s="26">
        <v>5.0999999999999996</v>
      </c>
      <c r="C42" s="17" t="s">
        <v>92</v>
      </c>
      <c r="D42" s="17"/>
      <c r="E42" s="9">
        <v>45104</v>
      </c>
      <c r="F42" s="9">
        <v>45104</v>
      </c>
      <c r="G42" s="10">
        <f t="shared" ref="G42:G43" si="4">NETWORKDAYS(E42,F42)</f>
        <v>1</v>
      </c>
      <c r="H42" s="47">
        <v>1</v>
      </c>
      <c r="I42" s="4"/>
      <c r="J42" s="55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</row>
    <row r="43" spans="2:98" ht="20.149999999999999" customHeight="1" x14ac:dyDescent="0.25">
      <c r="B43" s="26">
        <v>5.2</v>
      </c>
      <c r="C43" s="17" t="s">
        <v>93</v>
      </c>
      <c r="D43" s="17"/>
      <c r="E43" s="9">
        <v>45131</v>
      </c>
      <c r="F43" s="9">
        <v>45131</v>
      </c>
      <c r="G43" s="10">
        <f t="shared" si="4"/>
        <v>1</v>
      </c>
      <c r="H43" s="47">
        <v>1</v>
      </c>
      <c r="I43" s="4"/>
      <c r="J43" s="4"/>
      <c r="K43" s="4"/>
      <c r="L43" s="4"/>
      <c r="M43" s="4"/>
      <c r="N43" s="4"/>
      <c r="O43" s="4"/>
      <c r="P43" s="4"/>
      <c r="Q43" s="4"/>
      <c r="R43" s="55"/>
      <c r="S43" s="55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</row>
    <row r="44" spans="2:98" ht="20.149999999999999" customHeight="1" x14ac:dyDescent="0.25">
      <c r="B44" s="26">
        <v>5.3</v>
      </c>
      <c r="C44" s="17" t="s">
        <v>94</v>
      </c>
      <c r="D44" s="17"/>
      <c r="E44" s="9">
        <v>45131</v>
      </c>
      <c r="F44" s="9">
        <v>45131</v>
      </c>
      <c r="G44" s="10">
        <f t="shared" ref="G44" si="5">NETWORKDAYS(E44,F44)</f>
        <v>1</v>
      </c>
      <c r="H44" s="47">
        <v>1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55"/>
      <c r="AB44" s="55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</row>
    <row r="45" spans="2:98" ht="20.149999999999999" customHeight="1" x14ac:dyDescent="0.25">
      <c r="B45" s="26" t="s">
        <v>95</v>
      </c>
      <c r="C45" s="17" t="s">
        <v>96</v>
      </c>
      <c r="D45" s="17"/>
      <c r="E45" s="9">
        <v>45133</v>
      </c>
      <c r="F45" s="9">
        <v>45133</v>
      </c>
      <c r="G45" s="10">
        <f t="shared" ref="G45:G49" si="6">NETWORKDAYS(E45,F45)</f>
        <v>1</v>
      </c>
      <c r="H45" s="47">
        <v>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</row>
    <row r="46" spans="2:98" ht="20.149999999999999" customHeight="1" x14ac:dyDescent="0.25">
      <c r="B46" s="26">
        <v>5.5</v>
      </c>
      <c r="C46" s="17" t="s">
        <v>97</v>
      </c>
      <c r="D46" s="17"/>
      <c r="E46" s="9">
        <v>45133</v>
      </c>
      <c r="F46" s="9">
        <v>45133</v>
      </c>
      <c r="G46" s="10">
        <f t="shared" si="6"/>
        <v>1</v>
      </c>
      <c r="H46" s="47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</row>
    <row r="47" spans="2:98" ht="20.149999999999999" customHeight="1" x14ac:dyDescent="0.25">
      <c r="B47" s="26">
        <v>5.6</v>
      </c>
      <c r="C47" s="17" t="s">
        <v>98</v>
      </c>
      <c r="D47" s="17"/>
      <c r="E47" s="9">
        <v>45135</v>
      </c>
      <c r="F47" s="9">
        <v>45135</v>
      </c>
      <c r="G47" s="10">
        <f t="shared" si="6"/>
        <v>1</v>
      </c>
      <c r="H47" s="47">
        <v>1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</row>
    <row r="48" spans="2:98" ht="20.149999999999999" customHeight="1" x14ac:dyDescent="0.25">
      <c r="B48" s="26" t="s">
        <v>99</v>
      </c>
      <c r="C48" s="17" t="s">
        <v>100</v>
      </c>
      <c r="D48" s="17"/>
      <c r="E48" s="9">
        <v>45138</v>
      </c>
      <c r="F48" s="9">
        <v>45138</v>
      </c>
      <c r="G48" s="10">
        <f t="shared" si="6"/>
        <v>1</v>
      </c>
      <c r="H48" s="47">
        <v>1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</row>
    <row r="49" spans="2:98" ht="20.149999999999999" customHeight="1" x14ac:dyDescent="0.25">
      <c r="B49" s="26"/>
      <c r="C49" s="17" t="s">
        <v>96</v>
      </c>
      <c r="D49" s="17"/>
      <c r="E49" s="9">
        <v>45139</v>
      </c>
      <c r="F49" s="9">
        <v>45139</v>
      </c>
      <c r="G49" s="10">
        <f t="shared" si="6"/>
        <v>1</v>
      </c>
      <c r="H49" s="47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</row>
    <row r="50" spans="2:98" ht="20.149999999999999" customHeight="1" x14ac:dyDescent="0.25">
      <c r="B50" s="26" t="s">
        <v>101</v>
      </c>
      <c r="C50" s="17" t="s">
        <v>102</v>
      </c>
      <c r="D50" s="17"/>
      <c r="E50" s="9">
        <v>45187</v>
      </c>
      <c r="F50" s="9">
        <v>45198</v>
      </c>
      <c r="G50" s="10">
        <f>NETWORKDAYS(E50,F50)</f>
        <v>10</v>
      </c>
      <c r="H50" s="47"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</row>
    <row r="51" spans="2:98" ht="20.149999999999999" customHeight="1" x14ac:dyDescent="0.25">
      <c r="B51" s="26" t="s">
        <v>103</v>
      </c>
      <c r="C51" s="19" t="s">
        <v>104</v>
      </c>
      <c r="D51" s="19"/>
      <c r="E51" s="11"/>
      <c r="F51" s="11"/>
      <c r="G51" s="11"/>
      <c r="H51" s="11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</row>
    <row r="52" spans="2:98" ht="20.149999999999999" customHeight="1" x14ac:dyDescent="0.25">
      <c r="B52" s="26" t="s">
        <v>105</v>
      </c>
      <c r="C52" s="17" t="s">
        <v>106</v>
      </c>
      <c r="D52" s="17"/>
      <c r="E52" s="9">
        <v>45187</v>
      </c>
      <c r="F52" s="9">
        <v>45198</v>
      </c>
      <c r="G52" s="10">
        <f t="shared" ref="G52:G53" si="7">NETWORKDAYS(E52,F52)</f>
        <v>10</v>
      </c>
      <c r="H52" s="47"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W52" s="45"/>
      <c r="BX52" s="45"/>
      <c r="BY52" s="45"/>
      <c r="BZ52" s="45"/>
      <c r="CA52" s="45"/>
      <c r="CB52" s="45"/>
      <c r="CC52" s="45"/>
      <c r="CD52" s="45"/>
      <c r="CE52" s="45"/>
      <c r="CF52" s="45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</row>
    <row r="53" spans="2:98" ht="20.149999999999999" customHeight="1" x14ac:dyDescent="0.25">
      <c r="B53" s="26" t="s">
        <v>107</v>
      </c>
      <c r="C53" s="17" t="s">
        <v>108</v>
      </c>
      <c r="D53" s="17"/>
      <c r="E53" s="9">
        <v>45187</v>
      </c>
      <c r="F53" s="9">
        <v>45198</v>
      </c>
      <c r="G53" s="10">
        <f t="shared" si="7"/>
        <v>10</v>
      </c>
      <c r="H53" s="47">
        <v>0</v>
      </c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</row>
    <row r="54" spans="2:98" ht="20.149999999999999" customHeight="1" x14ac:dyDescent="0.25">
      <c r="B54" s="26" t="s">
        <v>109</v>
      </c>
      <c r="C54" s="19" t="s">
        <v>110</v>
      </c>
      <c r="D54" s="19"/>
      <c r="E54" s="11"/>
      <c r="F54" s="11"/>
      <c r="G54" s="11"/>
      <c r="H54" s="11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</row>
    <row r="55" spans="2:98" ht="20.149999999999999" customHeight="1" x14ac:dyDescent="0.25">
      <c r="B55" s="26" t="s">
        <v>111</v>
      </c>
      <c r="C55" s="17" t="s">
        <v>112</v>
      </c>
      <c r="D55" s="17" t="s">
        <v>113</v>
      </c>
      <c r="E55" s="9">
        <v>45188</v>
      </c>
      <c r="F55" s="9">
        <v>45201</v>
      </c>
      <c r="G55" s="10">
        <f>NETWORKDAYS(E55,F55)</f>
        <v>10</v>
      </c>
      <c r="H55" s="47">
        <v>0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Q55" s="4"/>
      <c r="BR55" s="4"/>
      <c r="BS55" s="4"/>
      <c r="BT55" s="4"/>
      <c r="BU55" s="4"/>
      <c r="BV55" s="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</row>
    <row r="56" spans="2:98" ht="20.149999999999999" customHeight="1" x14ac:dyDescent="0.25">
      <c r="B56" s="26" t="s">
        <v>114</v>
      </c>
      <c r="C56" s="19" t="s">
        <v>115</v>
      </c>
      <c r="D56" s="19"/>
      <c r="E56" s="11"/>
      <c r="F56" s="11"/>
      <c r="G56" s="11"/>
      <c r="H56" s="11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</row>
    <row r="57" spans="2:98" ht="20.149999999999999" customHeight="1" x14ac:dyDescent="0.25">
      <c r="B57" s="26" t="s">
        <v>116</v>
      </c>
      <c r="C57" s="17" t="s">
        <v>112</v>
      </c>
      <c r="D57" s="17" t="s">
        <v>113</v>
      </c>
      <c r="E57" s="9">
        <v>45201</v>
      </c>
      <c r="F57" s="9">
        <v>45210</v>
      </c>
      <c r="G57" s="10">
        <f>NETWORKDAYS(E57,F57)</f>
        <v>8</v>
      </c>
      <c r="H57" s="47">
        <v>0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57"/>
      <c r="CE57" s="57"/>
      <c r="CF57" s="57"/>
      <c r="CG57" s="57"/>
      <c r="CH57" s="57"/>
      <c r="CI57" s="57"/>
      <c r="CJ57" s="57"/>
      <c r="CK57" s="57"/>
      <c r="CL57" s="4"/>
      <c r="CM57" s="4"/>
      <c r="CN57" s="4"/>
      <c r="CO57" s="4"/>
      <c r="CP57" s="4"/>
      <c r="CQ57" s="4"/>
      <c r="CR57" s="4"/>
      <c r="CS57" s="4"/>
      <c r="CT57" s="4"/>
    </row>
    <row r="58" spans="2:98" ht="20.149999999999999" customHeight="1" x14ac:dyDescent="0.25">
      <c r="B58" s="26" t="s">
        <v>117</v>
      </c>
      <c r="C58" s="17" t="s">
        <v>118</v>
      </c>
      <c r="D58" s="17" t="s">
        <v>119</v>
      </c>
      <c r="E58" s="9">
        <v>45210</v>
      </c>
      <c r="F58" s="9">
        <v>45212</v>
      </c>
      <c r="G58" s="10">
        <f>NETWORKDAYS(E58,F58)</f>
        <v>3</v>
      </c>
      <c r="H58" s="47"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65" t="s">
        <v>120</v>
      </c>
      <c r="CM58" s="66"/>
      <c r="CN58" s="67"/>
      <c r="CO58" s="4"/>
      <c r="CP58" s="4"/>
      <c r="CQ58" s="4"/>
      <c r="CR58" s="4"/>
      <c r="CS58" s="4"/>
      <c r="CT58" s="4"/>
    </row>
    <row r="59" spans="2:98" ht="10" customHeight="1" x14ac:dyDescent="0.25">
      <c r="B59" s="26" t="s">
        <v>121</v>
      </c>
      <c r="C59" s="19" t="s">
        <v>122</v>
      </c>
      <c r="D59" s="19"/>
      <c r="E59" s="11"/>
      <c r="F59" s="11"/>
      <c r="G59" s="11"/>
      <c r="H59" s="11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</row>
    <row r="60" spans="2:98" ht="12.65" customHeight="1" x14ac:dyDescent="0.25">
      <c r="B60" s="26" t="s">
        <v>123</v>
      </c>
      <c r="C60" s="17" t="s">
        <v>124</v>
      </c>
      <c r="D60" s="17" t="s">
        <v>113</v>
      </c>
      <c r="E60" s="9">
        <v>45212</v>
      </c>
      <c r="F60" s="9">
        <v>45218</v>
      </c>
      <c r="G60" s="10">
        <f>NETWORKDAYS(E60,F60)</f>
        <v>5</v>
      </c>
      <c r="H60" s="47">
        <v>0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56"/>
      <c r="CL60" s="4"/>
      <c r="CM60" s="4"/>
      <c r="CN60" s="4"/>
      <c r="CO60" s="62" t="s">
        <v>125</v>
      </c>
      <c r="CP60" s="63"/>
      <c r="CQ60" s="63"/>
      <c r="CR60" s="64"/>
      <c r="CS60" s="4"/>
      <c r="CT60" s="4"/>
    </row>
    <row r="61" spans="2:98" ht="12.5" x14ac:dyDescent="0.25">
      <c r="CS61" s="4"/>
      <c r="CT61" s="4"/>
    </row>
    <row r="62" spans="2:98" ht="12.5" x14ac:dyDescent="0.25"/>
    <row r="63" spans="2:98" ht="12.5" x14ac:dyDescent="0.25"/>
  </sheetData>
  <mergeCells count="21">
    <mergeCell ref="P13:R13"/>
    <mergeCell ref="CA4:CE4"/>
    <mergeCell ref="BF4:BZ4"/>
    <mergeCell ref="B6:B8"/>
    <mergeCell ref="C6:C8"/>
    <mergeCell ref="D6:D8"/>
    <mergeCell ref="E6:E8"/>
    <mergeCell ref="F6:F8"/>
    <mergeCell ref="G6:G8"/>
    <mergeCell ref="H6:H8"/>
    <mergeCell ref="D1:D2"/>
    <mergeCell ref="E1:E2"/>
    <mergeCell ref="I4:M4"/>
    <mergeCell ref="N4:AH4"/>
    <mergeCell ref="AI4:BE4"/>
    <mergeCell ref="Y17:Z17"/>
    <mergeCell ref="CP4:CT4"/>
    <mergeCell ref="CO60:CR60"/>
    <mergeCell ref="CF4:CJ4"/>
    <mergeCell ref="CK4:CO4"/>
    <mergeCell ref="CL58:CN58"/>
  </mergeCells>
  <conditionalFormatting sqref="H10:H32 H41:H6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{B2F8625E-50BC-4A53-B190-EE211D76DE06}</x14:id>
        </ext>
      </extLst>
    </cfRule>
  </conditionalFormatting>
  <conditionalFormatting sqref="H33:H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{FDD8CD73-39D2-4B7F-B46D-5E682702E0B9}</x14:id>
        </ext>
      </extLst>
    </cfRule>
  </conditionalFormatting>
  <pageMargins left="0.3" right="0.3" top="0.3" bottom="0.3" header="0" footer="0"/>
  <pageSetup scale="37" fitToHeight="0" orientation="landscape" r:id="rId1"/>
  <ignoredErrors>
    <ignoredError sqref="B11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F8625E-50BC-4A53-B190-EE211D76DE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H10:H32 H41:H60</xm:sqref>
        </x14:conditionalFormatting>
        <x14:conditionalFormatting xmlns:xm="http://schemas.microsoft.com/office/excel/2006/main">
          <x14:cfRule type="dataBar" id="{FDD8CD73-39D2-4B7F-B46D-5E682702E0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H33:H40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119505B6D3C24CB62BE9BBDE3DDEA5" ma:contentTypeVersion="11" ma:contentTypeDescription="Create a new document." ma:contentTypeScope="" ma:versionID="aaf15967507aefa62cd284de6481a845">
  <xsd:schema xmlns:xsd="http://www.w3.org/2001/XMLSchema" xmlns:xs="http://www.w3.org/2001/XMLSchema" xmlns:p="http://schemas.microsoft.com/office/2006/metadata/properties" xmlns:ns2="07adbd64-ec9a-494d-8fd0-cd4130bbae8f" xmlns:ns3="9acebb93-ad2c-4c3b-863a-5dd1f76e7edc" targetNamespace="http://schemas.microsoft.com/office/2006/metadata/properties" ma:root="true" ma:fieldsID="73115343f95d055a1506787d2d4863b8" ns2:_="" ns3:_="">
    <xsd:import namespace="07adbd64-ec9a-494d-8fd0-cd4130bbae8f"/>
    <xsd:import namespace="9acebb93-ad2c-4c3b-863a-5dd1f76e7e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adbd64-ec9a-494d-8fd0-cd4130bbae8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6a10d21-8362-4697-b9c8-1c96123921f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ebb93-ad2c-4c3b-863a-5dd1f76e7ed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c4b33ba-8a73-498e-98f1-6764bcb5c913}" ma:internalName="TaxCatchAll" ma:showField="CatchAllData" ma:web="9acebb93-ad2c-4c3b-863a-5dd1f76e7e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cebb93-ad2c-4c3b-863a-5dd1f76e7edc" xsi:nil="true"/>
    <lcf76f155ced4ddcb4097134ff3c332f xmlns="07adbd64-ec9a-494d-8fd0-cd4130bbae8f">
      <Terms xmlns="http://schemas.microsoft.com/office/infopath/2007/PartnerControls"/>
    </lcf76f155ced4ddcb4097134ff3c332f>
    <SharedWithUsers xmlns="9acebb93-ad2c-4c3b-863a-5dd1f76e7edc">
      <UserInfo>
        <DisplayName>Kevin Myles Gueco (CSP-IT-DEV)</DisplayName>
        <AccountId>13</AccountId>
        <AccountType/>
      </UserInfo>
      <UserInfo>
        <DisplayName>Roth John Quioco (CSP-IT-DEV)</DisplayName>
        <AccountId>19</AccountId>
        <AccountType/>
      </UserInfo>
      <UserInfo>
        <DisplayName>Sue T (AVT-CR-SEASQTH)</DisplayName>
        <AccountId>35</AccountId>
        <AccountType/>
      </UserInfo>
      <UserInfo>
        <DisplayName>Tricia Gomez (CSP-IT-DEV)</DisplayName>
        <AccountId>9</AccountId>
        <AccountType/>
      </UserInfo>
      <UserInfo>
        <DisplayName>Marissalynn Parayno (CSP-IT-DEV)</DisplayName>
        <AccountId>20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303E5447-FEC6-4BC2-9C4A-F06184F70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adbd64-ec9a-494d-8fd0-cd4130bbae8f"/>
    <ds:schemaRef ds:uri="9acebb93-ad2c-4c3b-863a-5dd1f76e7e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C0AB03-604F-46DE-82DB-EF2FF3306B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2EFFBD-4637-4517-BBE3-58F7F66D7F2B}">
  <ds:schemaRefs>
    <ds:schemaRef ds:uri="http://schemas.microsoft.com/office/2006/metadata/properties"/>
    <ds:schemaRef ds:uri="http://schemas.microsoft.com/office/infopath/2007/PartnerControls"/>
    <ds:schemaRef ds:uri="9acebb93-ad2c-4c3b-863a-5dd1f76e7edc"/>
    <ds:schemaRef ds:uri="07adbd64-ec9a-494d-8fd0-cd4130bbae8f"/>
  </ds:schemaRefs>
</ds:datastoreItem>
</file>

<file path=docMetadata/LabelInfo.xml><?xml version="1.0" encoding="utf-8"?>
<clbl:labelList xmlns:clbl="http://schemas.microsoft.com/office/2020/mipLabelMetadata">
  <clbl:label id="{b33f296e-ec36-4225-aef5-71d3702fed51}" enabled="1" method="Privileged" siteId="{36201b45-af65-436a-b7b3-64b09ba1412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WBS with Gantt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Tricia.Gomez@caspo.com</dc:creator>
  <cp:keywords/>
  <dc:description/>
  <cp:lastModifiedBy>Tricia Gomez (CSP-IT-DEV)</cp:lastModifiedBy>
  <cp:revision/>
  <dcterms:created xsi:type="dcterms:W3CDTF">2016-03-21T16:06:55Z</dcterms:created>
  <dcterms:modified xsi:type="dcterms:W3CDTF">2023-08-15T02:43:47Z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0x010100B1119505B6D3C24CB62BE9BBDE3DDEA5</vt:lpwstr>
  </property>
  <property fmtid="{D5CDD505-2E9C-101B-9397-08002B2CF9AE}" pid="3" name="_SourceUrl">
    <vt:lpwstr/>
  </property>
  <property fmtid="{D5CDD505-2E9C-101B-9397-08002B2CF9AE}" pid="4" name="_SharedFileIndex">
    <vt:lpwstr/>
  </property>
  <property fmtid="{D5CDD505-2E9C-101B-9397-08002B2CF9AE}" pid="5" name="ComplianceAssetId">
    <vt:lpwstr/>
  </property>
  <property fmtid="{D5CDD505-2E9C-101B-9397-08002B2CF9AE}" pid="6" name="_activity">
    <vt:lpwstr>{"FileActivityType":"9","FileActivityTimeStamp":"2023-07-10T05:14:59.233Z","FileActivityUsersOnPage":[{"DisplayName":"Robin De Leon (CSP-IT-SYS)","Id":"01ph1242.robin.d@ict888.net"},{"DisplayName":"Kevin Myles Gueco (CSP-IT-DEV)","Id":"01ph1446.kevin.g@ict888.net"},{"DisplayName":"Tricia Gomez (CSP-IT-DEV)","Id":"01ph1609.tricia.g@ict888.net"},{"DisplayName":"Roth John Quioco (CSP-IT-DEV)","Id":"01ph1323.roth.q@ict888.net"},{"DisplayName":"Marissalynn Parayno (CSP-IT-DEV)","Id":"01ph1459.mariz.p@ict888.net"}],"FileActivityNavigationId":null}</vt:lpwstr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